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0B85047-7FE6-4AC6-B76F-06D0AC478D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Zuschüsse Q3-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7" l="1"/>
  <c r="C30" i="7"/>
  <c r="C29" i="7"/>
  <c r="C28" i="7"/>
  <c r="C26" i="7"/>
  <c r="C25" i="7"/>
</calcChain>
</file>

<file path=xl/sharedStrings.xml><?xml version="1.0" encoding="utf-8"?>
<sst xmlns="http://schemas.openxmlformats.org/spreadsheetml/2006/main" count="56" uniqueCount="28">
  <si>
    <r>
      <rPr>
        <b/>
        <sz val="10"/>
        <color rgb="FF000000"/>
        <rFont val="Agfa Rotis Sans Serif"/>
        <scheme val="minor"/>
      </rPr>
      <t xml:space="preserve">Zuschüsse 2026
</t>
    </r>
    <r>
      <rPr>
        <sz val="10"/>
        <color rgb="FF000000"/>
        <rFont val="Agfa Rotis Sans Serif"/>
        <scheme val="minor"/>
      </rPr>
      <t>(max. p.P. 475,- / J.
Budget insg. max. 2.500,- /J.)</t>
    </r>
  </si>
  <si>
    <t>Wer</t>
  </si>
  <si>
    <t>wann</t>
  </si>
  <si>
    <t>wofür</t>
  </si>
  <si>
    <t>Zuschuss-
höhe €</t>
  </si>
  <si>
    <t>Nachweis
eingereicht</t>
  </si>
  <si>
    <t>Roman Kashtanov</t>
  </si>
  <si>
    <t>Emotionen als Stärke</t>
  </si>
  <si>
    <t>LAKO Hessen Ticket</t>
  </si>
  <si>
    <t>Gino Scalinci</t>
  </si>
  <si>
    <t>17.01.2026
(+20.02.)</t>
  </si>
  <si>
    <t>Training Debatting</t>
  </si>
  <si>
    <t>Jen Gehrke</t>
  </si>
  <si>
    <t>Training Schlagfertigkeit</t>
  </si>
  <si>
    <t>Zuschuss GA</t>
  </si>
  <si>
    <t>LAKO Hessen (Hanau)</t>
  </si>
  <si>
    <t>TFA 2026</t>
  </si>
  <si>
    <t>Marco Eck</t>
  </si>
  <si>
    <t>LAKO in Hanau</t>
  </si>
  <si>
    <t>Eric Bublat</t>
  </si>
  <si>
    <t>GA</t>
  </si>
  <si>
    <t>Foto</t>
  </si>
  <si>
    <t>LAKO Hanau</t>
  </si>
  <si>
    <t>Summer School</t>
  </si>
  <si>
    <t>Muhammed Ali Kara</t>
  </si>
  <si>
    <t>Hat noch nicht stattgefunden</t>
  </si>
  <si>
    <t>Auszahlungsbetrag Zuschüsse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</si>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</sst>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>
    <font>
      <sz val="10"/>
      <color theme="1"/>
      <name val="Agfa Rotis Sans Serif"/>
      <scheme val="minor"/>
    </font>
    <font>
      <sz val="14"/>
      <color theme="3"/>
      <name val="Agfa Rotis Sans Serif Ex Bold"/>
    </font>
    <font>
      <sz val="11"/>
      <color theme="0"/>
      <name val="Agfa Rotis Sans Serif Ex Bold"/>
    </font>
    <font>
      <sz val="10"/>
      <color theme="3"/>
      <name val="Agfa Rotis Sans Serif Ex Bold"/>
    </font>
    <font>
      <sz val="10"/>
      <color rgb="FFFF0000"/>
      <name val="Agfa Rotis Sans Serif"/>
      <family val="2"/>
    </font>
    <font>
      <b/>
      <sz val="10"/>
      <color rgb="FFFF0000"/>
      <name val="Agfa Rotis Sans Serif"/>
      <family val="2"/>
    </font>
    <font>
      <sz val="10"/>
      <color theme="1"/>
      <name val="Agfa Rotis Sans Serif"/>
    </font>
    <font>
      <b/>
      <sz val="10"/>
      <color rgb="FFFA7D00"/>
      <name val="Agfa Rotis Sans Serif"/>
    </font>
    <font>
      <i/>
      <sz val="8"/>
      <color rgb="FF7F7F7F"/>
      <name val="Agfa Rotis Sans Serif"/>
    </font>
    <font>
      <sz val="10"/>
      <color rgb="FF00B0F0"/>
      <name val="Agfa Rotis Sans Serif"/>
    </font>
    <font>
      <sz val="11"/>
      <color theme="3"/>
      <name val="Agfa Rotis Sans Serif Ex Bold"/>
    </font>
    <font>
      <sz val="10"/>
      <color theme="0"/>
      <name val="Agfa Rotis Sans Serif"/>
    </font>
    <font>
      <sz val="10"/>
      <color theme="0"/>
      <name val="Agfa Rotis Sans Serif Ex Bold"/>
    </font>
    <font>
      <sz val="10"/>
      <color theme="9" tint="-0.499984740745262"/>
      <name val="Agfa Rotis Sans Serif"/>
    </font>
    <font>
      <sz val="8"/>
      <color theme="1"/>
      <name val="Agfa Rotis Sans Serif"/>
    </font>
    <font>
      <b/>
      <sz val="10"/>
      <color theme="1"/>
      <name val="Agfa Rotis Sans Serif"/>
      <scheme val="minor"/>
    </font>
    <font>
      <b/>
      <sz val="10"/>
      <color rgb="FF000000"/>
      <name val="Agfa Rotis Sans Serif"/>
      <scheme val="minor"/>
    </font>
    <font>
      <sz val="10"/>
      <color rgb="FF000000"/>
      <name val="Agfa Rotis Sans Serif"/>
      <scheme val="minor"/>
    </font>
    <font>
      <sz val="11"/>
      <color theme="1"/>
      <name val="Agfa Rotis Sans Serif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theme="4"/>
      </bottom>
      <diagonal/>
    </border>
    <border>
      <left/>
      <right/>
      <top/>
      <bottom style="medium">
        <color theme="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tted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/>
      <top style="thin">
        <color theme="3"/>
      </top>
      <bottom style="double">
        <color theme="3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 wrapText="1"/>
    </xf>
    <xf numFmtId="0" fontId="1" fillId="0" borderId="0" applyNumberFormat="0" applyFill="0" applyBorder="0" applyProtection="0">
      <alignment vertical="center"/>
    </xf>
    <xf numFmtId="0" fontId="2" fillId="2" borderId="1" applyNumberFormat="0" applyProtection="0">
      <alignment vertical="center"/>
    </xf>
    <xf numFmtId="0" fontId="3" fillId="3" borderId="0" applyNumberForma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0" fillId="0" borderId="8" applyNumberFormat="0" applyFill="0" applyAlignment="0" applyProtection="0"/>
    <xf numFmtId="0" fontId="5" fillId="0" borderId="7" applyNumberFormat="0" applyAlignment="0" applyProtection="0"/>
    <xf numFmtId="0" fontId="4" fillId="0" borderId="0" applyNumberFormat="0" applyAlignment="0" applyProtection="0"/>
    <xf numFmtId="0" fontId="6" fillId="33" borderId="9" applyNumberFormat="0" applyAlignment="0" applyProtection="0"/>
    <xf numFmtId="0" fontId="6" fillId="4" borderId="4" applyNumberFormat="0" applyAlignment="0" applyProtection="0"/>
    <xf numFmtId="0" fontId="7" fillId="4" borderId="3" applyNumberFormat="0" applyAlignment="0" applyProtection="0"/>
    <xf numFmtId="0" fontId="9" fillId="0" borderId="6" applyNumberFormat="0" applyFill="0" applyAlignment="0" applyProtection="0"/>
    <xf numFmtId="0" fontId="14" fillId="5" borderId="5" applyNumberFormat="0" applyAlignment="0" applyProtection="0"/>
    <xf numFmtId="0" fontId="8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29" borderId="0" applyNumberFormat="0" applyBorder="0" applyAlignment="0" applyProtection="0"/>
  </cellStyleXfs>
  <cellXfs count="21">
    <xf numFmtId="0" fontId="0" fillId="0" borderId="0" xfId="0">
      <alignment vertical="center" wrapText="1"/>
    </xf>
    <xf numFmtId="14" fontId="0" fillId="0" borderId="0" xfId="0" applyNumberFormat="1">
      <alignment vertical="center" wrapText="1"/>
    </xf>
    <xf numFmtId="0" fontId="15" fillId="0" borderId="0" xfId="0" applyFont="1">
      <alignment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0" applyFont="1">
      <alignment vertical="center" wrapText="1"/>
    </xf>
    <xf numFmtId="164" fontId="15" fillId="0" borderId="0" xfId="0" applyNumberFormat="1" applyFont="1">
      <alignment vertical="center" wrapText="1"/>
    </xf>
    <xf numFmtId="164" fontId="0" fillId="0" borderId="0" xfId="0" applyNumberFormat="1">
      <alignment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Fill="1">
      <alignment vertical="center" wrapText="1"/>
    </xf>
    <xf numFmtId="14" fontId="0" fillId="0" borderId="0" xfId="0" applyNumberFormat="1" applyFill="1">
      <alignment vertical="center" wrapText="1"/>
    </xf>
    <xf numFmtId="0" fontId="0" fillId="0" borderId="11" xfId="0" applyBorder="1">
      <alignment vertical="center" wrapText="1"/>
    </xf>
    <xf numFmtId="0" fontId="0" fillId="0" borderId="11" xfId="0" applyFill="1" applyBorder="1">
      <alignment vertical="center" wrapText="1"/>
    </xf>
    <xf numFmtId="0" fontId="0" fillId="0" borderId="12" xfId="0" applyBorder="1">
      <alignment vertical="center" wrapText="1"/>
    </xf>
    <xf numFmtId="0" fontId="15" fillId="0" borderId="13" xfId="0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3" builtinId="21" customBuiltin="1"/>
    <cellStyle name="Berechnung" xfId="14" builtinId="22" hidden="1" customBuiltin="1"/>
    <cellStyle name="Eingabe" xfId="12" builtinId="20" customBuiltin="1"/>
    <cellStyle name="Ergebnis" xfId="9" builtinId="25" customBuiltin="1"/>
    <cellStyle name="Erklärender Text" xfId="17" builtinId="53" customBuiltin="1"/>
    <cellStyle name="Gut" xfId="6" builtinId="26" customBuiltin="1"/>
    <cellStyle name="Neutral" xfId="8" builtinId="28" customBuiltin="1"/>
    <cellStyle name="Notiz" xfId="16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5" builtinId="24" customBuiltin="1"/>
    <cellStyle name="Warnender Text" xfId="11" builtinId="11" customBuiltin="1"/>
    <cellStyle name="Zelle überprüfen" xfId="10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IHK">
  <a:themeElements>
    <a:clrScheme name="IHK">
      <a:dk1>
        <a:sysClr val="windowText" lastClr="000000"/>
      </a:dk1>
      <a:lt1>
        <a:sysClr val="window" lastClr="FFFFFF"/>
      </a:lt1>
      <a:dk2>
        <a:srgbClr val="003882"/>
      </a:dk2>
      <a:lt2>
        <a:srgbClr val="EEECE1"/>
      </a:lt2>
      <a:accent1>
        <a:srgbClr val="C0292F"/>
      </a:accent1>
      <a:accent2>
        <a:srgbClr val="F08B00"/>
      </a:accent2>
      <a:accent3>
        <a:srgbClr val="F3CD33"/>
      </a:accent3>
      <a:accent4>
        <a:srgbClr val="83B424"/>
      </a:accent4>
      <a:accent5>
        <a:srgbClr val="0084BB"/>
      </a:accent5>
      <a:accent6>
        <a:srgbClr val="7A1F7D"/>
      </a:accent6>
      <a:hlink>
        <a:srgbClr val="0000FF"/>
      </a:hlink>
      <a:folHlink>
        <a:srgbClr val="800080"/>
      </a:folHlink>
    </a:clrScheme>
    <a:fontScheme name="IHK">
      <a:majorFont>
        <a:latin typeface="Agfa Rotis Sans Serif Light"/>
        <a:ea typeface=""/>
        <a:cs typeface=""/>
      </a:majorFont>
      <a:minorFont>
        <a:latin typeface="Agfa Rotis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IHK">
        <a:dk1>
          <a:sysClr val="windowText" lastClr="000000"/>
        </a:dk1>
        <a:lt1>
          <a:sysClr val="window" lastClr="FFFFFF"/>
        </a:lt1>
        <a:dk2>
          <a:srgbClr val="003882"/>
        </a:dk2>
        <a:lt2>
          <a:srgbClr val="EEECE1"/>
        </a:lt2>
        <a:accent1>
          <a:srgbClr val="C0292F"/>
        </a:accent1>
        <a:accent2>
          <a:srgbClr val="F08B00"/>
        </a:accent2>
        <a:accent3>
          <a:srgbClr val="F3CD33"/>
        </a:accent3>
        <a:accent4>
          <a:srgbClr val="83B424"/>
        </a:accent4>
        <a:accent5>
          <a:srgbClr val="0084BB"/>
        </a:accent5>
        <a:accent6>
          <a:srgbClr val="7A1F7D"/>
        </a:accent6>
        <a:hlink>
          <a:srgbClr val="0000FF"/>
        </a:hlink>
        <a:folHlink>
          <a:srgbClr val="800080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IHK-Hausfarbe">
      <a:srgbClr val="003882"/>
    </a:custClr>
    <a:custClr name="Standortpolitik">
      <a:srgbClr val="C0292F"/>
    </a:custClr>
    <a:custClr name="Existenzgründung und Unternehmensförderung">
      <a:srgbClr val="F08B00"/>
    </a:custClr>
    <a:custClr name="Aus- und Weiterbildung">
      <a:srgbClr val="F3CD33"/>
    </a:custClr>
    <a:custClr name="Innovation und Umwelt">
      <a:srgbClr val="83B424"/>
    </a:custClr>
    <a:custClr name="International">
      <a:srgbClr val="0084BB"/>
    </a:custClr>
    <a:custClr name="Recht und Steuern">
      <a:srgbClr val="7A1F7D"/>
    </a:custClr>
  </a:custClr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2B77-4589-4E4B-B0DB-4301195FC0D4}">
  <dimension ref="B1:F30"/>
  <sheetViews>
    <sheetView tabSelected="1" topLeftCell="A2" zoomScale="115" zoomScaleNormal="100" workbookViewId="0">
      <selection activeCell="B24" sqref="B24:C30"/>
    </sheetView>
  </sheetViews>
  <sheetFormatPr baseColWidth="10" defaultColWidth="10.28515625" defaultRowHeight="12.75" customHeight="1"/>
  <cols>
    <col min="2" max="2" width="18.140625" customWidth="1"/>
    <col min="3" max="3" width="18.42578125" customWidth="1"/>
    <col min="4" max="4" width="20.5703125" customWidth="1"/>
    <col min="5" max="5" width="9" style="7" bestFit="1" customWidth="1"/>
    <col min="6" max="6" width="10" style="3" bestFit="1" customWidth="1"/>
  </cols>
  <sheetData>
    <row r="1" spans="2:6" ht="13.5" customHeight="1">
      <c r="B1" s="8" t="s">
        <v>0</v>
      </c>
      <c r="C1" s="9"/>
      <c r="D1" s="9"/>
      <c r="E1" s="9"/>
      <c r="F1" s="9"/>
    </row>
    <row r="2" spans="2:6" ht="44.25" customHeight="1">
      <c r="B2" s="9"/>
      <c r="C2" s="9"/>
      <c r="D2" s="9"/>
      <c r="E2" s="9"/>
      <c r="F2" s="9"/>
    </row>
    <row r="3" spans="2:6" s="2" customFormat="1" ht="38.25">
      <c r="B3" s="2" t="s">
        <v>1</v>
      </c>
      <c r="C3" s="2" t="s">
        <v>2</v>
      </c>
      <c r="D3" s="2" t="s">
        <v>3</v>
      </c>
      <c r="E3" s="6" t="s">
        <v>4</v>
      </c>
      <c r="F3" s="4" t="s">
        <v>5</v>
      </c>
    </row>
    <row r="4" spans="2:6">
      <c r="B4" t="s">
        <v>6</v>
      </c>
      <c r="C4" s="1">
        <v>46073</v>
      </c>
      <c r="D4" t="s">
        <v>7</v>
      </c>
      <c r="E4" s="7">
        <v>5</v>
      </c>
      <c r="F4" s="3" t="s">
        <v>21</v>
      </c>
    </row>
    <row r="5" spans="2:6">
      <c r="B5" s="11" t="s">
        <v>9</v>
      </c>
      <c r="C5" s="12">
        <v>46073</v>
      </c>
      <c r="D5" s="11" t="s">
        <v>7</v>
      </c>
      <c r="E5" s="7">
        <v>5</v>
      </c>
      <c r="F5" s="3" t="s">
        <v>21</v>
      </c>
    </row>
    <row r="6" spans="2:6" ht="25.5">
      <c r="B6" s="11" t="s">
        <v>9</v>
      </c>
      <c r="C6" s="12" t="s">
        <v>10</v>
      </c>
      <c r="D6" s="11" t="s">
        <v>8</v>
      </c>
      <c r="E6" s="7">
        <v>70</v>
      </c>
      <c r="F6" s="3" t="s">
        <v>21</v>
      </c>
    </row>
    <row r="7" spans="2:6">
      <c r="B7" s="11" t="s">
        <v>9</v>
      </c>
      <c r="C7" s="12">
        <v>46060</v>
      </c>
      <c r="D7" s="11" t="s">
        <v>11</v>
      </c>
      <c r="E7" s="7">
        <v>5</v>
      </c>
      <c r="F7" s="3" t="s">
        <v>21</v>
      </c>
    </row>
    <row r="8" spans="2:6" ht="12.75" customHeight="1">
      <c r="B8" s="11" t="s">
        <v>12</v>
      </c>
      <c r="C8" s="12">
        <v>46125</v>
      </c>
      <c r="D8" s="11" t="s">
        <v>8</v>
      </c>
      <c r="E8" s="7">
        <v>70</v>
      </c>
      <c r="F8" s="3" t="s">
        <v>21</v>
      </c>
    </row>
    <row r="9" spans="2:6" ht="12.75" customHeight="1">
      <c r="B9" s="11" t="s">
        <v>9</v>
      </c>
      <c r="C9" s="12">
        <v>46132</v>
      </c>
      <c r="D9" s="11" t="s">
        <v>13</v>
      </c>
      <c r="E9" s="7">
        <v>10</v>
      </c>
      <c r="F9" s="3" t="s">
        <v>21</v>
      </c>
    </row>
    <row r="10" spans="2:6" ht="12.75" customHeight="1">
      <c r="B10" s="11" t="s">
        <v>9</v>
      </c>
      <c r="C10" s="12">
        <v>46132</v>
      </c>
      <c r="D10" s="11" t="s">
        <v>14</v>
      </c>
      <c r="E10" s="7">
        <v>125</v>
      </c>
      <c r="F10" s="3" t="s">
        <v>21</v>
      </c>
    </row>
    <row r="11" spans="2:6" ht="12.75" customHeight="1">
      <c r="B11" t="s">
        <v>19</v>
      </c>
      <c r="C11" s="1">
        <v>46204</v>
      </c>
      <c r="D11" s="5" t="s">
        <v>20</v>
      </c>
      <c r="E11" s="7">
        <v>125</v>
      </c>
      <c r="F11" s="3" t="s">
        <v>21</v>
      </c>
    </row>
    <row r="12" spans="2:6" ht="12.75" customHeight="1">
      <c r="B12" t="s">
        <v>6</v>
      </c>
      <c r="C12" s="1">
        <v>46240</v>
      </c>
      <c r="D12" t="s">
        <v>15</v>
      </c>
      <c r="E12" s="7">
        <v>70</v>
      </c>
      <c r="F12" s="3" t="s">
        <v>21</v>
      </c>
    </row>
    <row r="13" spans="2:6" ht="12.75" customHeight="1">
      <c r="B13" s="11" t="s">
        <v>17</v>
      </c>
      <c r="C13" s="1">
        <v>46241</v>
      </c>
      <c r="D13" s="5" t="s">
        <v>18</v>
      </c>
      <c r="E13" s="7">
        <v>70</v>
      </c>
      <c r="F13" s="3" t="s">
        <v>21</v>
      </c>
    </row>
    <row r="14" spans="2:6" ht="12.75" customHeight="1">
      <c r="B14" t="s">
        <v>19</v>
      </c>
      <c r="C14" s="1">
        <v>46247</v>
      </c>
      <c r="D14" s="5" t="s">
        <v>22</v>
      </c>
      <c r="E14" s="7">
        <v>70</v>
      </c>
      <c r="F14" s="3" t="s">
        <v>21</v>
      </c>
    </row>
    <row r="15" spans="2:6" ht="12.75" customHeight="1">
      <c r="B15" t="s">
        <v>24</v>
      </c>
      <c r="C15" s="1">
        <v>46254</v>
      </c>
      <c r="D15" s="5" t="s">
        <v>22</v>
      </c>
      <c r="E15" s="7">
        <v>70</v>
      </c>
      <c r="F15" s="3" t="s">
        <v>21</v>
      </c>
    </row>
    <row r="16" spans="2:6" ht="12.75" customHeight="1">
      <c r="C16" s="1"/>
      <c r="D16" s="5"/>
    </row>
    <row r="17" spans="2:6" ht="12.75" customHeight="1">
      <c r="C17" s="1"/>
      <c r="D17" s="5"/>
    </row>
    <row r="18" spans="2:6" ht="12.75" customHeight="1">
      <c r="B18" s="10" t="s">
        <v>25</v>
      </c>
      <c r="C18" s="10"/>
      <c r="D18" s="10"/>
      <c r="E18" s="10"/>
      <c r="F18" s="10"/>
    </row>
    <row r="19" spans="2:6" ht="12.75" customHeight="1">
      <c r="B19" t="s">
        <v>19</v>
      </c>
      <c r="C19" s="1">
        <v>46247</v>
      </c>
      <c r="D19" s="5" t="s">
        <v>23</v>
      </c>
      <c r="E19" s="7">
        <v>75</v>
      </c>
    </row>
    <row r="20" spans="2:6">
      <c r="B20" t="s">
        <v>6</v>
      </c>
      <c r="C20" s="1">
        <v>46240</v>
      </c>
      <c r="D20" t="s">
        <v>16</v>
      </c>
      <c r="E20" s="7">
        <v>100</v>
      </c>
    </row>
    <row r="23" spans="2:6" ht="12.75" customHeight="1" thickBot="1"/>
    <row r="24" spans="2:6" ht="27.75" customHeight="1" thickBot="1">
      <c r="B24" s="16" t="s">
        <v>27</v>
      </c>
      <c r="C24" s="20" t="s">
        <v>26</v>
      </c>
    </row>
    <row r="25" spans="2:6" ht="12.75" customHeight="1">
      <c r="B25" s="13" t="s">
        <v>17</v>
      </c>
      <c r="C25" s="17">
        <f>SUM(E13)</f>
        <v>70</v>
      </c>
    </row>
    <row r="26" spans="2:6" ht="12.75" customHeight="1">
      <c r="B26" s="14" t="s">
        <v>9</v>
      </c>
      <c r="C26" s="18">
        <f>SUM(E5,E6,E7,E9,E10)</f>
        <v>215</v>
      </c>
    </row>
    <row r="27" spans="2:6" ht="12.75" customHeight="1">
      <c r="B27" s="13" t="s">
        <v>6</v>
      </c>
      <c r="C27" s="18">
        <f>SUM(E4,E12)</f>
        <v>75</v>
      </c>
    </row>
    <row r="28" spans="2:6" ht="12.75" customHeight="1">
      <c r="B28" s="13" t="s">
        <v>12</v>
      </c>
      <c r="C28" s="18">
        <f>SUM(E8)</f>
        <v>70</v>
      </c>
    </row>
    <row r="29" spans="2:6" ht="12.75" customHeight="1">
      <c r="B29" s="13" t="s">
        <v>19</v>
      </c>
      <c r="C29" s="18">
        <f>SUM(E11,E14)</f>
        <v>195</v>
      </c>
    </row>
    <row r="30" spans="2:6" ht="12.75" customHeight="1" thickBot="1">
      <c r="B30" s="15" t="s">
        <v>24</v>
      </c>
      <c r="C30" s="19">
        <f>SUM(E15)</f>
        <v>70</v>
      </c>
    </row>
  </sheetData>
  <mergeCells count="2">
    <mergeCell ref="B1:F2"/>
    <mergeCell ref="B18:F18"/>
  </mergeCells>
  <pageMargins left="0.31496062992125984" right="0.31496062992125984" top="0.98425196850393704" bottom="0.6692913385826772" header="0.31496062992125984" footer="0.31496062992125984"/>
  <pageSetup paperSize="9" orientation="landscape" verticalDpi="300" r:id="rId1"/>
  <headerFooter differentFirst="1">
    <oddFooter>&amp;R&amp;7&amp;P | &amp;N</oddFooter>
    <firstHeader xml:space="preserve">&amp;L&amp;G&amp;C&amp;"+,Fett"&amp;11Dokumenttitel&amp;R&amp;9 </firstHeader>
    <firstFooter>&amp;L&amp;7&amp;A
&amp;Z&amp;F&amp;C&amp;7
&amp;R&amp;7&amp;P | &amp;N</first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a8cc1d-80bb-4d48-be60-bf2122251304">
      <Terms xmlns="http://schemas.microsoft.com/office/infopath/2007/PartnerControls"/>
    </lcf76f155ced4ddcb4097134ff3c332f>
    <TaxCatchAll xmlns="1d8f530d-57ba-4d3f-88e6-dd21bc688b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960560F6EFC042B19269A8685374A2" ma:contentTypeVersion="18" ma:contentTypeDescription="Ein neues Dokument erstellen." ma:contentTypeScope="" ma:versionID="afa581e1a28f4d7fa84e9be197c80a43">
  <xsd:schema xmlns:xsd="http://www.w3.org/2001/XMLSchema" xmlns:xs="http://www.w3.org/2001/XMLSchema" xmlns:p="http://schemas.microsoft.com/office/2006/metadata/properties" xmlns:ns2="17a8cc1d-80bb-4d48-be60-bf2122251304" xmlns:ns3="1d8f530d-57ba-4d3f-88e6-dd21bc688b52" targetNamespace="http://schemas.microsoft.com/office/2006/metadata/properties" ma:root="true" ma:fieldsID="61d4d7f995eda08473ed498b2869cc7d" ns2:_="" ns3:_="">
    <xsd:import namespace="17a8cc1d-80bb-4d48-be60-bf2122251304"/>
    <xsd:import namespace="1d8f530d-57ba-4d3f-88e6-dd21bc688b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8cc1d-80bb-4d48-be60-bf21222513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ae58882e-4503-4dfd-9f2b-d9e855eff4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f530d-57ba-4d3f-88e6-dd21bc688b5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837b98-748b-46c1-a35e-ab4f8f736270}" ma:internalName="TaxCatchAll" ma:showField="CatchAllData" ma:web="1d8f530d-57ba-4d3f-88e6-dd21bc688b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84B29-6B91-43B7-BC03-52B4152EECF1}">
  <ds:schemaRefs>
    <ds:schemaRef ds:uri="http://schemas.microsoft.com/office/2006/metadata/properties"/>
    <ds:schemaRef ds:uri="http://schemas.microsoft.com/office/infopath/2007/PartnerControls"/>
    <ds:schemaRef ds:uri="17a8cc1d-80bb-4d48-be60-bf2122251304"/>
    <ds:schemaRef ds:uri="1d8f530d-57ba-4d3f-88e6-dd21bc688b52"/>
  </ds:schemaRefs>
</ds:datastoreItem>
</file>

<file path=customXml/itemProps2.xml><?xml version="1.0" encoding="utf-8"?>
<ds:datastoreItem xmlns:ds="http://schemas.openxmlformats.org/officeDocument/2006/customXml" ds:itemID="{4FFA5E03-D39C-4119-BB25-DBBAF203FB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83594B-F226-4C30-B057-4AD1DCB97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8cc1d-80bb-4d48-be60-bf2122251304"/>
    <ds:schemaRef ds:uri="1d8f530d-57ba-4d3f-88e6-dd21bc688b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Zuschüsse Q3-26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2016-11-24T14:31:38Z</dcterms:created>
  <dcterms:modified xsi:type="dcterms:W3CDTF">2026-08-30T06:49:35Z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0x010100DD960560F6EFC042B19269A8685374A2</vt:lpwstr>
  </property>
  <property fmtid="{D5CDD505-2E9C-101B-9397-08002B2CF9AE}" pid="3" name="MediaServiceImageTags">
    <vt:lpwstr/>
  </property>
</Properties>
</file>